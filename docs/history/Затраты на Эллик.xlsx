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27" yWindow="133" windowWidth="12967" windowHeight="916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C46" i="1" l="1"/>
  <c r="C44" i="1"/>
  <c r="C29" i="1"/>
  <c r="C48" i="1" l="1"/>
</calcChain>
</file>

<file path=xl/sharedStrings.xml><?xml version="1.0" encoding="utf-8"?>
<sst xmlns="http://schemas.openxmlformats.org/spreadsheetml/2006/main" count="82" uniqueCount="82">
  <si>
    <t>Ножницы</t>
  </si>
  <si>
    <t>Комбайн</t>
  </si>
  <si>
    <t>Лебедь</t>
  </si>
  <si>
    <t>Кид</t>
  </si>
  <si>
    <t>Интеграция трехмоторной схемы</t>
  </si>
  <si>
    <t>Гусь синий</t>
  </si>
  <si>
    <t>Гусь оранжевый</t>
  </si>
  <si>
    <t>Раптор черный</t>
  </si>
  <si>
    <t>Раптор моторный</t>
  </si>
  <si>
    <t>Раптор белый</t>
  </si>
  <si>
    <t>Грант Фонда инноваций</t>
  </si>
  <si>
    <t>Работа основателя</t>
  </si>
  <si>
    <t>Аренда помещений</t>
  </si>
  <si>
    <t>Труд мастеров</t>
  </si>
  <si>
    <t>Разработка системы управления моторколес 2</t>
  </si>
  <si>
    <t>Разработка системы управления моторколес 1</t>
  </si>
  <si>
    <t>Разработка системы удержания Синий</t>
  </si>
  <si>
    <t>Дорабока системой удержания и дистацонного управления Оранж</t>
  </si>
  <si>
    <t>Сумма затрат, тыс. руб.</t>
  </si>
  <si>
    <t>Первый прототип</t>
  </si>
  <si>
    <t>Вновь пересмотрена кинематическая схема. Найдено решение простой реализации рычажного привода.</t>
  </si>
  <si>
    <t>Разработана модель детской игрушки для сборки из стандартного алюминиевого профиля.</t>
  </si>
  <si>
    <t>Полностью пересмотрен подход к кинематической схеме и реализации привода. Заменена рычажная система на систему связанных ремнями блоков. Впервые применено консольное крепление колес.</t>
  </si>
  <si>
    <t>Упрощена и уменьшена конструкция скутера. Повышена технологичность производства и простота сборки.</t>
  </si>
  <si>
    <t>Поиск системы удержания пилота, который не может удерживаться самостоятельно</t>
  </si>
  <si>
    <t>Создание и поддержание вебсайтов</t>
  </si>
  <si>
    <t>Испытания и доработка для применения на реальных детях ДЦП</t>
  </si>
  <si>
    <t>Разработка и производство управляющих контроллеров, разработка и производство печатных плат, закупка компонентов, поверхностный монтаж, испытания, программироваание. Управление гироскопом.</t>
  </si>
  <si>
    <t xml:space="preserve">Изменение требований к проектированию системы управления, перепроектирование контроллеров управления, разработка и производство печатных плат, закупка компонентов, поверхностный монтаж, испытания, программирование. </t>
  </si>
  <si>
    <t>Механическая интеграция кареточного мотора в Оранж</t>
  </si>
  <si>
    <t>Проведение выставки Фитнес</t>
  </si>
  <si>
    <t>Проведение выствики Робофинист</t>
  </si>
  <si>
    <t>Описание</t>
  </si>
  <si>
    <t>Включены в общий пул расходов:</t>
  </si>
  <si>
    <t>Привлечено 2 млн руб.</t>
  </si>
  <si>
    <t>Разработана и согласована с производством КД</t>
  </si>
  <si>
    <t>Изготовлено 3 производственных образца</t>
  </si>
  <si>
    <t>Подготовлен научно технический отчет</t>
  </si>
  <si>
    <t>Подготовка и содержание патентов России (на ременно-блочную конструкцию, устарел, не поддерживается, на электрическую схему управления не поддерживается, на кинематическую схему - зарегистрирован, оплачен до 2029 года с возможностью продления)</t>
  </si>
  <si>
    <t>Ладья</t>
  </si>
  <si>
    <t>Шведка</t>
  </si>
  <si>
    <t>Партнерское соглашение с Гросско</t>
  </si>
  <si>
    <t>Партнерские отношения с РУТ МИИТ</t>
  </si>
  <si>
    <t>Партнерские отношения с МИФИ</t>
  </si>
  <si>
    <t>Карета</t>
  </si>
  <si>
    <t>Миникарета</t>
  </si>
  <si>
    <t>Исследование влияния на устойчивость изменения геометрии рамы подъемом высоты точки качания ручки.</t>
  </si>
  <si>
    <t>Оптимизация рамы для транспортирования</t>
  </si>
  <si>
    <t xml:space="preserve">Уменьшение габаритных размеров и увеличение прочности. Изменена геометрия рамы. </t>
  </si>
  <si>
    <t>Миникарета с приводом спереди</t>
  </si>
  <si>
    <t>Исследование влияния изменения кинематической траектории стопы на эргономику, перенос коленвала в переднюю часть скутера</t>
  </si>
  <si>
    <t>Скутер</t>
  </si>
  <si>
    <t>Исследования влияния на эргономику переноса на одну сторону точки качания ручки и коленвала.</t>
  </si>
  <si>
    <t>Поиск решения проблем с жесткостью рамы.</t>
  </si>
  <si>
    <t>Упрощена и уменьшена рама. Применено консольное крепление колес. Производство поддерживающих колес.</t>
  </si>
  <si>
    <t>Непрерывная свободная эксплуатация 3 экземпляров (Гусь синий, Раптор черный, Раптор белый) на протяжении трех дней массового мероприятия. Выявление слабых мест, дорабока конструкции</t>
  </si>
  <si>
    <t>Проведение выставки Интеграция 2024</t>
  </si>
  <si>
    <t>Проведение выставки Интеграция 2025</t>
  </si>
  <si>
    <t>Начало партнерства с центром Гросско</t>
  </si>
  <si>
    <t>Подготовка конкурсной документации для участия в грантах</t>
  </si>
  <si>
    <t>Исследования в Госдарственном центре реабилитации Зеленограда: подготовлена видеоинструкция по применению, разработана программа и методика испытаний, проведены испытания на людях, подготовлен отчет об испытаниях, разработана рекомендованная тренировочная программа.</t>
  </si>
  <si>
    <t>Разработка управления кареточным мотором</t>
  </si>
  <si>
    <t>Работы по стабилизации привода за счет изменения геометрии звезд</t>
  </si>
  <si>
    <t>Компенсирует плавающий момент на счет переменных тактов ходьбы.</t>
  </si>
  <si>
    <t>Разработка инструкции по эксплуатации и обучающих материалов</t>
  </si>
  <si>
    <t>Аренда оборудования, транспорт</t>
  </si>
  <si>
    <t>50 тысяч рублей за подготовку комлекта документации. Учтено подготовка 4 заявок в Фонд содействия инновациям.</t>
  </si>
  <si>
    <t>Патенты</t>
  </si>
  <si>
    <t>Испытания на людях</t>
  </si>
  <si>
    <t>Всего:</t>
  </si>
  <si>
    <t>Создано с участием Кафедры колесных машин Бауманскго университета. Отсутствовала система привода.</t>
  </si>
  <si>
    <t>Разработка ПО, тесты, корректировка электромонтажа и электрической схемы.</t>
  </si>
  <si>
    <t>Реализация малогабаритной моторной версии с консольным креплением моторколес.</t>
  </si>
  <si>
    <t>Реализация и тестирование трехмоторной схемы</t>
  </si>
  <si>
    <t>Итого сопутствующие вложения:</t>
  </si>
  <si>
    <t>Итого прямые вложения:</t>
  </si>
  <si>
    <t>https://ellic.tilda.ws/ , https://ellic.tilda.ws/cts</t>
  </si>
  <si>
    <t>Ведение социальных сетей (20 млн просмотров в тиктоке, ютуб, телеграм), производство видеоконтента</t>
  </si>
  <si>
    <t>https://www.youtube.com/channel/UCIquH_fNA_3huxtzbm07EMQ , https://www.tiktok.com/@ellicbike , https://t.me/dvijtech , более 100 видеороликов</t>
  </si>
  <si>
    <t xml:space="preserve">с сентября 2019 года 6 полных лет * 200 тыс. руб. в мес * 0,25 ставки </t>
  </si>
  <si>
    <t>#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</si>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</sst>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\ _₽_-;\-* #,##0.0\ _₽_-;_-* &quot;-&quot;??\ _₽_-;_-@_-"/>
    <numFmt numFmtId="165" formatCode="_-* #,##0\ _₽_-;\-* #,##0\ _₽_-;_-* &quot;-&quot;??\ _₽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0" xfId="1" applyNumberFormat="1" applyFont="1" applyAlignment="1">
      <alignment vertical="top" wrapText="1"/>
    </xf>
    <xf numFmtId="165" fontId="2" fillId="0" borderId="0" xfId="1" applyNumberFormat="1" applyFont="1" applyAlignment="1">
      <alignment vertical="top" wrapText="1"/>
    </xf>
    <xf numFmtId="165" fontId="2" fillId="0" borderId="1" xfId="1" applyNumberFormat="1" applyFont="1" applyBorder="1" applyAlignment="1">
      <alignment vertical="top" wrapText="1"/>
    </xf>
    <xf numFmtId="165" fontId="0" fillId="0" borderId="0" xfId="1" applyNumberFormat="1" applyFont="1" applyAlignment="1">
      <alignment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3"/>
  <sheetViews>
    <sheetView tabSelected="1" workbookViewId="0">
      <selection activeCell="B6" sqref="B6"/>
    </sheetView>
  </sheetViews>
  <sheetFormatPr defaultColWidth="8.8203125" defaultRowHeight="14.35" x14ac:dyDescent="0.5"/>
  <cols>
    <col min="1" max="1" width="5.8203125" style="1" bestFit="1" customWidth="1"/>
    <col min="2" max="2" width="40.46875" style="1" customWidth="1"/>
    <col min="3" max="3" width="10.29296875" style="1" bestFit="1" customWidth="1"/>
    <col min="4" max="4" width="85.234375" style="1" customWidth="1"/>
    <col min="5" max="16384" width="8.8203125" style="1"/>
  </cols>
  <sheetData>
    <row r="1" spans="1:4" ht="43" x14ac:dyDescent="0.5">
      <c r="A1" s="2" t="s">
        <v>80</v>
      </c>
      <c r="B1" s="2" t="s">
        <v>81</v>
      </c>
      <c r="C1" s="2" t="s">
        <v>18</v>
      </c>
      <c r="D1" s="2" t="s">
        <v>32</v>
      </c>
    </row>
    <row r="2" spans="1:4" x14ac:dyDescent="0.5">
      <c r="A2" s="2">
        <v>1</v>
      </c>
      <c r="B2" s="2" t="s">
        <v>0</v>
      </c>
      <c r="C2" s="2">
        <v>200</v>
      </c>
      <c r="D2" s="2" t="s">
        <v>19</v>
      </c>
    </row>
    <row r="3" spans="1:4" ht="28.7" x14ac:dyDescent="0.5">
      <c r="A3" s="2">
        <v>2</v>
      </c>
      <c r="B3" s="2" t="s">
        <v>1</v>
      </c>
      <c r="C3" s="2">
        <v>600</v>
      </c>
      <c r="D3" s="2" t="s">
        <v>70</v>
      </c>
    </row>
    <row r="4" spans="1:4" ht="43" x14ac:dyDescent="0.5">
      <c r="A4" s="2">
        <v>3</v>
      </c>
      <c r="B4" s="2" t="s">
        <v>39</v>
      </c>
      <c r="C4" s="2">
        <v>750</v>
      </c>
      <c r="D4" s="2" t="s">
        <v>22</v>
      </c>
    </row>
    <row r="5" spans="1:4" ht="28.7" x14ac:dyDescent="0.5">
      <c r="A5" s="2">
        <v>4</v>
      </c>
      <c r="B5" s="2" t="s">
        <v>51</v>
      </c>
      <c r="C5" s="2">
        <v>700</v>
      </c>
      <c r="D5" s="2" t="s">
        <v>20</v>
      </c>
    </row>
    <row r="6" spans="1:4" x14ac:dyDescent="0.5">
      <c r="A6" s="2">
        <v>5</v>
      </c>
      <c r="B6" s="2" t="s">
        <v>40</v>
      </c>
      <c r="C6" s="2">
        <v>650</v>
      </c>
      <c r="D6" s="2" t="s">
        <v>52</v>
      </c>
    </row>
    <row r="7" spans="1:4" ht="43" x14ac:dyDescent="0.5">
      <c r="A7" s="2">
        <v>6</v>
      </c>
      <c r="B7" s="2" t="s">
        <v>15</v>
      </c>
      <c r="C7" s="2">
        <v>570</v>
      </c>
      <c r="D7" s="2" t="s">
        <v>27</v>
      </c>
    </row>
    <row r="8" spans="1:4" x14ac:dyDescent="0.5">
      <c r="A8" s="2">
        <v>7</v>
      </c>
      <c r="B8" s="2" t="s">
        <v>2</v>
      </c>
      <c r="C8" s="2">
        <v>870</v>
      </c>
      <c r="D8" s="2" t="s">
        <v>53</v>
      </c>
    </row>
    <row r="9" spans="1:4" ht="28.7" x14ac:dyDescent="0.5">
      <c r="A9" s="2">
        <v>8</v>
      </c>
      <c r="B9" s="2" t="s">
        <v>44</v>
      </c>
      <c r="C9" s="2">
        <v>650</v>
      </c>
      <c r="D9" s="2" t="s">
        <v>46</v>
      </c>
    </row>
    <row r="10" spans="1:4" x14ac:dyDescent="0.5">
      <c r="A10" s="2">
        <v>9</v>
      </c>
      <c r="B10" s="2" t="s">
        <v>45</v>
      </c>
      <c r="C10" s="2">
        <v>550</v>
      </c>
      <c r="D10" s="2" t="s">
        <v>47</v>
      </c>
    </row>
    <row r="11" spans="1:4" ht="28.7" x14ac:dyDescent="0.5">
      <c r="A11" s="2">
        <v>10</v>
      </c>
      <c r="B11" s="2" t="s">
        <v>49</v>
      </c>
      <c r="C11" s="2">
        <v>350</v>
      </c>
      <c r="D11" s="2" t="s">
        <v>50</v>
      </c>
    </row>
    <row r="12" spans="1:4" x14ac:dyDescent="0.5">
      <c r="A12" s="2">
        <v>11</v>
      </c>
      <c r="B12" s="2" t="s">
        <v>5</v>
      </c>
      <c r="C12" s="2">
        <v>700</v>
      </c>
      <c r="D12" s="2" t="s">
        <v>48</v>
      </c>
    </row>
    <row r="13" spans="1:4" x14ac:dyDescent="0.5">
      <c r="A13" s="2">
        <v>12</v>
      </c>
      <c r="B13" s="2" t="s">
        <v>6</v>
      </c>
      <c r="C13" s="2">
        <v>900</v>
      </c>
      <c r="D13" s="2" t="s">
        <v>73</v>
      </c>
    </row>
    <row r="14" spans="1:4" x14ac:dyDescent="0.5">
      <c r="A14" s="2">
        <v>13</v>
      </c>
      <c r="B14" s="2" t="s">
        <v>3</v>
      </c>
      <c r="C14" s="2">
        <v>300</v>
      </c>
      <c r="D14" s="2" t="s">
        <v>21</v>
      </c>
    </row>
    <row r="15" spans="1:4" ht="28.7" x14ac:dyDescent="0.5">
      <c r="A15" s="2">
        <v>14</v>
      </c>
      <c r="B15" s="2" t="s">
        <v>7</v>
      </c>
      <c r="C15" s="2">
        <v>960</v>
      </c>
      <c r="D15" s="2" t="s">
        <v>54</v>
      </c>
    </row>
    <row r="16" spans="1:4" x14ac:dyDescent="0.5">
      <c r="A16" s="2">
        <v>15</v>
      </c>
      <c r="B16" s="2" t="s">
        <v>8</v>
      </c>
      <c r="C16" s="2">
        <v>570</v>
      </c>
      <c r="D16" s="2" t="s">
        <v>72</v>
      </c>
    </row>
    <row r="17" spans="1:4" ht="43" x14ac:dyDescent="0.5">
      <c r="A17" s="2">
        <v>16</v>
      </c>
      <c r="B17" s="2" t="s">
        <v>14</v>
      </c>
      <c r="C17" s="2">
        <v>760</v>
      </c>
      <c r="D17" s="2" t="s">
        <v>28</v>
      </c>
    </row>
    <row r="18" spans="1:4" ht="28.7" x14ac:dyDescent="0.5">
      <c r="A18" s="2">
        <v>17</v>
      </c>
      <c r="B18" s="2" t="s">
        <v>9</v>
      </c>
      <c r="C18" s="2">
        <v>700</v>
      </c>
      <c r="D18" s="2" t="s">
        <v>23</v>
      </c>
    </row>
    <row r="19" spans="1:4" x14ac:dyDescent="0.5">
      <c r="A19" s="2">
        <v>18</v>
      </c>
      <c r="B19" s="2" t="s">
        <v>16</v>
      </c>
      <c r="C19" s="2">
        <v>100</v>
      </c>
      <c r="D19" s="2" t="s">
        <v>24</v>
      </c>
    </row>
    <row r="20" spans="1:4" ht="28.7" x14ac:dyDescent="0.5">
      <c r="A20" s="2">
        <v>19</v>
      </c>
      <c r="B20" s="2" t="s">
        <v>17</v>
      </c>
      <c r="C20" s="2">
        <v>300</v>
      </c>
      <c r="D20" s="2" t="s">
        <v>26</v>
      </c>
    </row>
    <row r="21" spans="1:4" ht="28.7" x14ac:dyDescent="0.5">
      <c r="A21" s="2">
        <v>20</v>
      </c>
      <c r="B21" s="2" t="s">
        <v>62</v>
      </c>
      <c r="C21" s="2">
        <v>70</v>
      </c>
      <c r="D21" s="2" t="s">
        <v>63</v>
      </c>
    </row>
    <row r="22" spans="1:4" x14ac:dyDescent="0.5">
      <c r="A22" s="2">
        <v>21</v>
      </c>
      <c r="B22" s="2" t="s">
        <v>61</v>
      </c>
      <c r="C22" s="2">
        <v>450</v>
      </c>
      <c r="D22" s="2" t="s">
        <v>29</v>
      </c>
    </row>
    <row r="23" spans="1:4" x14ac:dyDescent="0.5">
      <c r="A23" s="2">
        <v>22</v>
      </c>
      <c r="B23" s="2" t="s">
        <v>4</v>
      </c>
      <c r="C23" s="2">
        <v>300</v>
      </c>
      <c r="D23" s="2" t="s">
        <v>71</v>
      </c>
    </row>
    <row r="24" spans="1:4" ht="28.7" x14ac:dyDescent="0.5">
      <c r="A24" s="2">
        <v>23</v>
      </c>
      <c r="B24" s="2" t="s">
        <v>64</v>
      </c>
      <c r="C24" s="2">
        <v>30</v>
      </c>
      <c r="D24" s="2"/>
    </row>
    <row r="25" spans="1:4" x14ac:dyDescent="0.5">
      <c r="A25" s="2">
        <v>24</v>
      </c>
      <c r="B25" s="2" t="s">
        <v>10</v>
      </c>
      <c r="C25" s="2"/>
      <c r="D25" s="2" t="s">
        <v>34</v>
      </c>
    </row>
    <row r="26" spans="1:4" ht="28.7" x14ac:dyDescent="0.5">
      <c r="A26" s="2">
        <v>25</v>
      </c>
      <c r="B26" s="2" t="s">
        <v>35</v>
      </c>
      <c r="C26" s="2">
        <v>700</v>
      </c>
      <c r="D26" s="2"/>
    </row>
    <row r="27" spans="1:4" x14ac:dyDescent="0.5">
      <c r="A27" s="2">
        <v>26</v>
      </c>
      <c r="B27" s="2" t="s">
        <v>36</v>
      </c>
      <c r="C27" s="2">
        <v>1000</v>
      </c>
      <c r="D27" s="2"/>
    </row>
    <row r="28" spans="1:4" x14ac:dyDescent="0.5">
      <c r="A28" s="2">
        <v>27</v>
      </c>
      <c r="B28" s="2" t="s">
        <v>37</v>
      </c>
      <c r="C28" s="2">
        <v>300</v>
      </c>
      <c r="D28" s="2"/>
    </row>
    <row r="29" spans="1:4" x14ac:dyDescent="0.5">
      <c r="B29" s="4" t="s">
        <v>75</v>
      </c>
      <c r="C29" s="5">
        <f>SUM(C2:C28)</f>
        <v>14030</v>
      </c>
    </row>
    <row r="32" spans="1:4" x14ac:dyDescent="0.5">
      <c r="A32" s="2">
        <v>1</v>
      </c>
      <c r="B32" s="2" t="s">
        <v>30</v>
      </c>
      <c r="C32" s="2">
        <v>40</v>
      </c>
      <c r="D32" s="2"/>
    </row>
    <row r="33" spans="1:4" x14ac:dyDescent="0.5">
      <c r="A33" s="2">
        <v>2</v>
      </c>
      <c r="B33" s="2" t="s">
        <v>56</v>
      </c>
      <c r="C33" s="2">
        <v>40</v>
      </c>
      <c r="D33" s="2" t="s">
        <v>58</v>
      </c>
    </row>
    <row r="34" spans="1:4" x14ac:dyDescent="0.5">
      <c r="A34" s="2">
        <v>3</v>
      </c>
      <c r="B34" s="2" t="s">
        <v>57</v>
      </c>
      <c r="C34" s="2">
        <v>40</v>
      </c>
      <c r="D34" s="2"/>
    </row>
    <row r="35" spans="1:4" ht="28.7" x14ac:dyDescent="0.5">
      <c r="A35" s="2">
        <v>4</v>
      </c>
      <c r="B35" s="2" t="s">
        <v>31</v>
      </c>
      <c r="C35" s="2">
        <v>150</v>
      </c>
      <c r="D35" s="2" t="s">
        <v>55</v>
      </c>
    </row>
    <row r="36" spans="1:4" ht="28.7" x14ac:dyDescent="0.5">
      <c r="A36" s="2">
        <v>5</v>
      </c>
      <c r="B36" s="2" t="s">
        <v>59</v>
      </c>
      <c r="C36" s="2">
        <v>200</v>
      </c>
      <c r="D36" s="2" t="s">
        <v>66</v>
      </c>
    </row>
    <row r="37" spans="1:4" ht="43" x14ac:dyDescent="0.5">
      <c r="A37" s="2">
        <v>6</v>
      </c>
      <c r="B37" s="2" t="s">
        <v>77</v>
      </c>
      <c r="C37" s="2">
        <v>600</v>
      </c>
      <c r="D37" s="2" t="s">
        <v>78</v>
      </c>
    </row>
    <row r="38" spans="1:4" x14ac:dyDescent="0.5">
      <c r="A38" s="2">
        <v>8</v>
      </c>
      <c r="B38" s="2" t="s">
        <v>25</v>
      </c>
      <c r="C38" s="2">
        <v>200</v>
      </c>
      <c r="D38" s="2" t="s">
        <v>76</v>
      </c>
    </row>
    <row r="39" spans="1:4" ht="43" x14ac:dyDescent="0.5">
      <c r="A39" s="2">
        <v>9</v>
      </c>
      <c r="B39" s="2" t="s">
        <v>67</v>
      </c>
      <c r="C39" s="2">
        <v>300</v>
      </c>
      <c r="D39" s="2" t="s">
        <v>38</v>
      </c>
    </row>
    <row r="40" spans="1:4" ht="57.35" x14ac:dyDescent="0.5">
      <c r="A40" s="2">
        <v>10</v>
      </c>
      <c r="B40" s="2" t="s">
        <v>68</v>
      </c>
      <c r="C40" s="2">
        <v>620</v>
      </c>
      <c r="D40" s="2" t="s">
        <v>60</v>
      </c>
    </row>
    <row r="41" spans="1:4" x14ac:dyDescent="0.5">
      <c r="A41" s="2">
        <v>11</v>
      </c>
      <c r="B41" s="2" t="s">
        <v>41</v>
      </c>
      <c r="C41" s="2"/>
      <c r="D41" s="2"/>
    </row>
    <row r="42" spans="1:4" x14ac:dyDescent="0.5">
      <c r="A42" s="2">
        <v>12</v>
      </c>
      <c r="B42" s="2" t="s">
        <v>42</v>
      </c>
      <c r="C42" s="2"/>
      <c r="D42" s="2"/>
    </row>
    <row r="43" spans="1:4" x14ac:dyDescent="0.5">
      <c r="A43" s="2">
        <v>13</v>
      </c>
      <c r="B43" s="2" t="s">
        <v>43</v>
      </c>
      <c r="C43" s="2"/>
      <c r="D43" s="2"/>
    </row>
    <row r="44" spans="1:4" x14ac:dyDescent="0.5">
      <c r="A44" s="2"/>
      <c r="B44" s="3" t="s">
        <v>74</v>
      </c>
      <c r="C44" s="6">
        <f>SUM(C32:C43)</f>
        <v>2190</v>
      </c>
      <c r="D44" s="2"/>
    </row>
    <row r="45" spans="1:4" x14ac:dyDescent="0.5">
      <c r="C45" s="7"/>
    </row>
    <row r="46" spans="1:4" x14ac:dyDescent="0.5">
      <c r="A46" s="2">
        <v>1</v>
      </c>
      <c r="B46" s="2" t="s">
        <v>11</v>
      </c>
      <c r="C46" s="6">
        <f>6*12*200*0.25</f>
        <v>3600</v>
      </c>
      <c r="D46" s="2" t="s">
        <v>79</v>
      </c>
    </row>
    <row r="48" spans="1:4" x14ac:dyDescent="0.5">
      <c r="B48" s="5" t="s">
        <v>69</v>
      </c>
      <c r="C48" s="5">
        <f>C29+C44+C46</f>
        <v>19820</v>
      </c>
    </row>
    <row r="50" spans="2:2" x14ac:dyDescent="0.5">
      <c r="B50" s="1" t="s">
        <v>33</v>
      </c>
    </row>
    <row r="51" spans="2:2" x14ac:dyDescent="0.5">
      <c r="B51" s="1" t="s">
        <v>12</v>
      </c>
    </row>
    <row r="52" spans="2:2" x14ac:dyDescent="0.5">
      <c r="B52" s="1" t="s">
        <v>65</v>
      </c>
    </row>
    <row r="53" spans="2:2" x14ac:dyDescent="0.5">
      <c r="B53" s="1" t="s">
        <v>13</v>
      </c>
    </row>
  </sheetData>
  <pageMargins left="0.70866141732283472" right="0.70866141732283472" top="0.74803149606299213" bottom="0.74803149606299213" header="0.31496062992125984" footer="0.31496062992125984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</dc:creator>
  <cp:lastModifiedBy>Dim</cp:lastModifiedBy>
  <cp:lastPrinted>2025-10-28T17:07:54Z</cp:lastPrinted>
  <dcterms:created xsi:type="dcterms:W3CDTF">2025-10-09T11:22:23Z</dcterms:created>
  <dcterms:modified xsi:type="dcterms:W3CDTF">2026-03-15T19:51:47Z</dcterms:modified>
</cp:coreProperties>
</file>